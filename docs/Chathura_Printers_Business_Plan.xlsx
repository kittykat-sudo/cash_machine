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What's Left at Month End" sheetId="2" state="visible" r:id="rId2"/>
    <sheet xmlns:r="http://schemas.openxmlformats.org/officeDocument/2006/relationships" name="Monthly Plan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Loan Model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"/>
    <numFmt numFmtId="166" formatCode="#,##0.00;\(#,##0.00\);\-"/>
    <numFmt numFmtId="167" formatCode="#,##0;(#,##0);&quot;-&quot;"/>
    <numFmt numFmtId="168" formatCode="Rs. #,##0.00;[Red](Rs. #,##0.00);Rs. 0.00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8000"/>
      <sz val="10"/>
    </font>
    <font>
      <name val="Arial"/>
      <b val="1"/>
      <color rgb="001E293B"/>
      <sz val="14"/>
    </font>
    <font>
      <name val="Arial"/>
      <i val="1"/>
      <color rgb="0064748B"/>
      <sz val="9.5"/>
    </font>
    <font>
      <name val="Arial"/>
      <b val="1"/>
      <color rgb="00FFFFFF"/>
      <sz val="10"/>
    </font>
    <font>
      <name val="Arial"/>
      <b val="1"/>
      <color rgb="00475569"/>
      <sz val="8.5"/>
    </font>
    <font>
      <name val="Arial"/>
      <b val="1"/>
      <color rgb="000F172A"/>
      <sz val="12"/>
    </font>
    <font>
      <name val="Arial"/>
      <b val="1"/>
      <color rgb="00047857"/>
      <sz val="12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b val="1"/>
      <color rgb="000000FF"/>
      <sz val="10"/>
    </font>
    <font>
      <name val="Arial"/>
      <color rgb="001E293B"/>
      <sz val="10"/>
    </font>
    <font>
      <name val="Arial"/>
      <b val="1"/>
      <color rgb="00047857"/>
      <sz val="10"/>
    </font>
    <font>
      <name val="Arial"/>
      <b val="1"/>
      <color rgb="00047857"/>
      <sz val="11"/>
    </font>
    <font>
      <name val="Arial"/>
      <i val="1"/>
      <color rgb="0064748B"/>
      <sz val="9"/>
    </font>
    <font>
      <name val="Arial"/>
      <b val="1"/>
      <color rgb="00B91C1C"/>
      <sz val="11"/>
    </font>
    <font>
      <name val="Arial"/>
      <b val="1"/>
      <color rgb="00B91C1C"/>
      <sz val="8.5"/>
    </font>
    <font>
      <name val="Arial"/>
      <b val="1"/>
      <color rgb="00047857"/>
      <sz val="8.5"/>
    </font>
  </fonts>
  <fills count="11">
    <fill>
      <patternFill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double">
        <color rgb="000F172A"/>
      </bottom>
      <diagonal/>
    </border>
    <border>
      <left/>
      <right/>
      <top style="thin">
        <color rgb="00CBD5E1"/>
      </top>
      <bottom style="medium">
        <color rgb="000F172A"/>
      </bottom>
      <diagonal/>
    </border>
    <border>
      <left/>
      <right style="thin">
        <color rgb="00CBD5E1"/>
      </right>
      <top style="thin">
        <color rgb="00CBD5E1"/>
      </top>
      <bottom style="medium">
        <color rgb="000F172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5" fontId="6" fillId="2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pivotButton="0" quotePrefix="0" xfId="0"/>
    <xf numFmtId="0" fontId="13" fillId="5" borderId="0" pivotButton="0" quotePrefix="0" xfId="0"/>
    <xf numFmtId="0" fontId="14" fillId="6" borderId="1" applyAlignment="1" pivotButton="0" quotePrefix="0" xfId="0">
      <alignment horizontal="center" vertical="center"/>
    </xf>
    <xf numFmtId="0" fontId="0" fillId="0" borderId="1" pivotButton="0" quotePrefix="0" xfId="0"/>
    <xf numFmtId="167" fontId="15" fillId="6" borderId="1" applyAlignment="1" pivotButton="0" quotePrefix="0" xfId="0">
      <alignment horizontal="center" vertical="center"/>
    </xf>
    <xf numFmtId="167" fontId="16" fillId="6" borderId="1" applyAlignment="1" pivotButton="0" quotePrefix="0" xfId="0">
      <alignment horizontal="center" vertical="center"/>
    </xf>
    <xf numFmtId="0" fontId="17" fillId="5" borderId="0" pivotButton="0" quotePrefix="0" xfId="0"/>
    <xf numFmtId="0" fontId="18" fillId="7" borderId="2" applyAlignment="1" pivotButton="0" quotePrefix="0" xfId="0">
      <alignment horizontal="left"/>
    </xf>
    <xf numFmtId="0" fontId="18" fillId="7" borderId="2" applyAlignment="1" pivotButton="0" quotePrefix="0" xfId="0">
      <alignment horizontal="right"/>
    </xf>
    <xf numFmtId="167" fontId="19" fillId="8" borderId="1" applyAlignment="1" pivotButton="0" quotePrefix="0" xfId="0">
      <alignment horizontal="right"/>
    </xf>
    <xf numFmtId="167" fontId="18" fillId="0" borderId="1" applyAlignment="1" pivotButton="0" quotePrefix="0" xfId="0">
      <alignment horizontal="right"/>
    </xf>
    <xf numFmtId="165" fontId="19" fillId="8" borderId="1" applyAlignment="1" pivotButton="0" quotePrefix="0" xfId="0">
      <alignment horizontal="right"/>
    </xf>
    <xf numFmtId="167" fontId="20" fillId="0" borderId="1" applyAlignment="1" pivotButton="0" quotePrefix="0" xfId="0">
      <alignment horizontal="right"/>
    </xf>
    <xf numFmtId="1" fontId="19" fillId="8" borderId="1" applyAlignment="1" pivotButton="0" quotePrefix="0" xfId="0">
      <alignment horizontal="right"/>
    </xf>
    <xf numFmtId="1" fontId="18" fillId="0" borderId="1" applyAlignment="1" pivotButton="0" quotePrefix="0" xfId="0">
      <alignment horizontal="right"/>
    </xf>
    <xf numFmtId="0" fontId="21" fillId="9" borderId="1" applyAlignment="1" pivotButton="0" quotePrefix="0" xfId="0">
      <alignment horizontal="left"/>
    </xf>
    <xf numFmtId="168" fontId="18" fillId="0" borderId="1" applyAlignment="1" pivotButton="0" quotePrefix="0" xfId="0">
      <alignment horizontal="right"/>
    </xf>
    <xf numFmtId="168" fontId="20" fillId="0" borderId="1" applyAlignment="1" pivotButton="0" quotePrefix="0" xfId="0">
      <alignment horizontal="right"/>
    </xf>
    <xf numFmtId="167" fontId="22" fillId="9" borderId="1" applyAlignment="1" pivotButton="0" quotePrefix="0" xfId="0">
      <alignment horizontal="right"/>
    </xf>
    <xf numFmtId="0" fontId="21" fillId="9" borderId="1" applyAlignment="1" pivotButton="0" quotePrefix="0" xfId="0">
      <alignment horizontal="center"/>
    </xf>
    <xf numFmtId="0" fontId="20" fillId="0" borderId="1" pivotButton="0" quotePrefix="0" xfId="0"/>
    <xf numFmtId="0" fontId="23" fillId="0" borderId="1" pivotButton="0" quotePrefix="0" xfId="0"/>
    <xf numFmtId="0" fontId="18" fillId="0" borderId="3" pivotButton="0" quotePrefix="0" xfId="0"/>
    <xf numFmtId="167" fontId="18" fillId="0" borderId="3" applyAlignment="1" pivotButton="0" quotePrefix="0" xfId="0">
      <alignment horizontal="right"/>
    </xf>
    <xf numFmtId="0" fontId="0" fillId="0" borderId="3" pivotButton="0" quotePrefix="0" xfId="0"/>
    <xf numFmtId="0" fontId="23" fillId="0" borderId="1" applyAlignment="1" pivotButton="0" quotePrefix="0" xfId="0">
      <alignment horizontal="left"/>
    </xf>
    <xf numFmtId="0" fontId="23" fillId="0" borderId="1" applyAlignment="1" pivotButton="0" quotePrefix="0" xfId="0">
      <alignment horizontal="right"/>
    </xf>
    <xf numFmtId="0" fontId="18" fillId="0" borderId="1" pivotButton="0" quotePrefix="0" xfId="0"/>
    <xf numFmtId="165" fontId="20" fillId="0" borderId="1" applyAlignment="1" pivotButton="0" quotePrefix="0" xfId="0">
      <alignment horizontal="right"/>
    </xf>
    <xf numFmtId="0" fontId="18" fillId="0" borderId="0" pivotButton="0" quotePrefix="0" xfId="0"/>
    <xf numFmtId="167" fontId="24" fillId="10" borderId="3" applyAlignment="1" pivotButton="0" quotePrefix="0" xfId="0">
      <alignment horizontal="right"/>
    </xf>
    <xf numFmtId="167" fontId="22" fillId="9" borderId="3" applyAlignment="1" pivotButton="0" quotePrefix="0" xfId="0">
      <alignment horizontal="right"/>
    </xf>
    <xf numFmtId="0" fontId="23" fillId="0" borderId="0" pivotButton="0" quotePrefix="0" xfId="0"/>
    <xf numFmtId="49" fontId="25" fillId="0" borderId="1" applyAlignment="1" pivotButton="0" quotePrefix="0" xfId="0">
      <alignment horizontal="center"/>
    </xf>
    <xf numFmtId="49" fontId="26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5" fontId="6" fillId="2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1" min="1" max="1"/>
    <col width="16" customWidth="1" style="21" min="2" max="2"/>
    <col width="12" customWidth="1" style="21" min="3" max="3"/>
    <col width="26" customWidth="1" style="21" min="4" max="5"/>
    <col width="70" customWidth="1" style="21" min="6" max="6"/>
  </cols>
  <sheetData>
    <row r="1" ht="17.35" customHeight="1" s="22">
      <c r="A1" s="23" t="inlineStr">
        <is>
          <t>Chathura Printers - Inputs (all amounts in Rs.)</t>
        </is>
      </c>
    </row>
    <row r="2" ht="15" customHeight="1" s="22">
      <c r="A2" s="24" t="inlineStr">
        <is>
          <t>Legend: blue text = input you can change; black = formula. Change blue cells and every sheet updates.</t>
        </is>
      </c>
    </row>
    <row r="4" ht="15" customHeight="1" s="22">
      <c r="A4" s="25" t="inlineStr">
        <is>
          <t>Loan</t>
        </is>
      </c>
    </row>
    <row r="5" ht="15" customHeight="1" s="22">
      <c r="A5" s="24" t="inlineStr">
        <is>
          <t>Loan amount (Rs.)</t>
        </is>
      </c>
      <c r="B5" s="26" t="n">
        <v>2800000</v>
      </c>
      <c r="C5" s="24" t="inlineStr">
        <is>
          <t>Rs. 28 lakh - from you</t>
        </is>
      </c>
    </row>
    <row r="6" ht="15" customHeight="1" s="22">
      <c r="A6" s="24" t="inlineStr">
        <is>
          <t>Annual interest rate</t>
        </is>
      </c>
      <c r="B6" s="27" t="n">
        <v>0.155</v>
      </c>
      <c r="C6" s="24" t="inlineStr">
        <is>
          <t>15.5% - from you; confirm with bank if fixed or floating</t>
        </is>
      </c>
    </row>
    <row r="7" ht="15" customHeight="1" s="22">
      <c r="A7" s="24" t="inlineStr">
        <is>
          <t>Term (years)</t>
        </is>
      </c>
      <c r="B7" s="28" t="n">
        <v>5</v>
      </c>
      <c r="C7" s="24" t="inlineStr">
        <is>
          <t>5 years - from you</t>
        </is>
      </c>
    </row>
    <row r="8" ht="15" customHeight="1" s="22">
      <c r="A8" s="25" t="inlineStr">
        <is>
          <t>Monthly installment (EMI)</t>
        </is>
      </c>
      <c r="B8" s="29">
        <f>PMT(B6/12,B7*12,-B5)</f>
        <v/>
      </c>
      <c r="C8" s="24" t="inlineStr">
        <is>
          <t>Standard reducing-balance loan; check 'What''s Left at Month End' for bank verification</t>
        </is>
      </c>
    </row>
    <row r="9" ht="15" customHeight="1" s="22">
      <c r="A9" s="24" t="inlineStr">
        <is>
          <t>Working days per month</t>
        </is>
      </c>
      <c r="B9" s="28" t="n">
        <v>26</v>
      </c>
      <c r="C9" s="24" t="inlineStr">
        <is>
          <t>Assumption</t>
        </is>
      </c>
    </row>
    <row r="11" ht="15" customHeight="1" s="22">
      <c r="A11" s="25" t="inlineStr">
        <is>
          <t>Fixed monthly expenses</t>
        </is>
      </c>
    </row>
    <row r="12" ht="15" customHeight="1" s="22">
      <c r="A12" s="24" t="inlineStr">
        <is>
          <t>Manager salary</t>
        </is>
      </c>
      <c r="B12" s="26" t="n">
        <v>50000</v>
      </c>
      <c r="C12" s="24" t="inlineStr">
        <is>
          <t>Assumption - replace with the salary you agree</t>
        </is>
      </c>
    </row>
    <row r="13" ht="15" customHeight="1" s="22">
      <c r="A13" s="24" t="inlineStr">
        <is>
          <t>Employer EPF + ETF rate</t>
        </is>
      </c>
      <c r="B13" s="27" t="n">
        <v>0.15</v>
      </c>
      <c r="C13" s="24" t="inlineStr">
        <is>
          <t>12% EPF + 3% ETF on salary</t>
        </is>
      </c>
    </row>
    <row r="14" ht="15" customHeight="1" s="22">
      <c r="A14" s="24" t="inlineStr">
        <is>
          <t>Electricity</t>
        </is>
      </c>
      <c r="B14" s="26" t="n">
        <v>18000</v>
      </c>
      <c r="C14" s="24" t="inlineStr">
        <is>
          <t>Assumption - production machines use a lot of power</t>
        </is>
      </c>
    </row>
    <row r="15" ht="15" customHeight="1" s="22">
      <c r="A15" s="24" t="inlineStr">
        <is>
          <t>Machine repairs &amp; servicing</t>
        </is>
      </c>
      <c r="B15" s="26" t="n">
        <v>8000</v>
      </c>
      <c r="C15" s="24" t="inlineStr">
        <is>
          <t>Assumption</t>
        </is>
      </c>
    </row>
    <row r="16" ht="15" customHeight="1" s="22">
      <c r="A16" s="24" t="inlineStr">
        <is>
          <t>Marketing</t>
        </is>
      </c>
      <c r="B16" s="26" t="n">
        <v>5000</v>
      </c>
      <c r="C16" s="24" t="inlineStr">
        <is>
          <t>Assumption</t>
        </is>
      </c>
    </row>
    <row r="17" ht="15" customHeight="1" s="22">
      <c r="A17" s="24" t="inlineStr">
        <is>
          <t>Phone &amp; internet</t>
        </is>
      </c>
      <c r="B17" s="26" t="n">
        <v>4000</v>
      </c>
      <c r="C17" s="24" t="inlineStr">
        <is>
          <t>Assumption</t>
        </is>
      </c>
    </row>
    <row r="18" ht="15" customHeight="1" s="22">
      <c r="A18" s="30" t="inlineStr">
        <is>
          <t>Shop rent and licences/insurance/misc. removed as per your instruction (set to 0).</t>
        </is>
      </c>
    </row>
    <row r="20" ht="15" customHeight="1" s="22">
      <c r="A20" s="25" t="inlineStr">
        <is>
          <t>Sample work per month</t>
        </is>
      </c>
    </row>
    <row r="21" ht="30" customHeight="1" s="22">
      <c r="A21" s="31" t="inlineStr">
        <is>
          <t>Work</t>
        </is>
      </c>
      <c r="B21" s="31" t="inlineStr">
        <is>
          <t>Volume / month</t>
        </is>
      </c>
      <c r="C21" s="31" t="inlineStr">
        <is>
          <t>Unit</t>
        </is>
      </c>
      <c r="D21" s="31" t="inlineStr">
        <is>
          <t>Selling price per unit (Rs.)</t>
        </is>
      </c>
      <c r="E21" s="31" t="inlineStr">
        <is>
          <t>Direct cost per unit (Rs.)</t>
        </is>
      </c>
      <c r="F21" s="31" t="inlineStr">
        <is>
          <t>Notes</t>
        </is>
      </c>
    </row>
    <row r="22" ht="15" customHeight="1" s="22">
      <c r="A22" s="24" t="inlineStr">
        <is>
          <t>Photocopy (double-sided sheet)</t>
        </is>
      </c>
      <c r="B22" s="26" t="n">
        <v>20000</v>
      </c>
      <c r="C22" s="24" t="inlineStr">
        <is>
          <t>sheets</t>
        </is>
      </c>
      <c r="D22" s="32" t="n">
        <v>4</v>
      </c>
      <c r="E22" s="32" t="n">
        <v>3.2</v>
      </c>
      <c r="F22" s="24" t="inlineStr">
        <is>
          <t>Rs. 4 price from you. Cost = paper ~2.40 + toner/servicing ~0.80 (assumption)</t>
        </is>
      </c>
    </row>
    <row r="23" ht="15" customHeight="1" s="22">
      <c r="A23" s="24" t="inlineStr">
        <is>
          <t>Bill books</t>
        </is>
      </c>
      <c r="B23" s="26" t="n">
        <v>100</v>
      </c>
      <c r="C23" s="24" t="inlineStr">
        <is>
          <t>books</t>
        </is>
      </c>
      <c r="D23" s="32" t="n">
        <v>1800</v>
      </c>
      <c r="E23" s="32" t="n">
        <v>1100</v>
      </c>
      <c r="F23" s="24" t="inlineStr">
        <is>
          <t>Assumption: NCR paper, numbering, binding, labour</t>
        </is>
      </c>
    </row>
    <row r="24" ht="15" customHeight="1" s="22">
      <c r="A24" s="24" t="inlineStr">
        <is>
          <t>Posters (A3 colour)</t>
        </is>
      </c>
      <c r="B24" s="26" t="n">
        <v>600</v>
      </c>
      <c r="C24" s="24" t="inlineStr">
        <is>
          <t>posters</t>
        </is>
      </c>
      <c r="D24" s="32" t="n">
        <v>200</v>
      </c>
      <c r="E24" s="32" t="n">
        <v>90</v>
      </c>
      <c r="F24" s="24" t="inlineStr">
        <is>
          <t>Assumption</t>
        </is>
      </c>
    </row>
    <row r="25" ht="15" customHeight="1" s="22">
      <c r="A25" s="24" t="inlineStr">
        <is>
          <t>Other (cards, flyers, lamination)</t>
        </is>
      </c>
      <c r="B25" s="26" t="n">
        <v>1</v>
      </c>
      <c r="C25" s="24" t="inlineStr">
        <is>
          <t>lump sum</t>
        </is>
      </c>
      <c r="D25" s="32" t="n">
        <v>80000</v>
      </c>
      <c r="E25" s="32" t="n">
        <v>48000</v>
      </c>
      <c r="F25" s="24" t="inlineStr">
        <is>
          <t>Assumption: 40% margin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6" customWidth="1" style="22" min="1" max="1"/>
    <col width="22" customWidth="1" style="22" min="2" max="2"/>
    <col width="24" customWidth="1" style="22" min="3" max="3"/>
    <col width="24" customWidth="1" style="22" min="4" max="4"/>
    <col width="26" customWidth="1" style="22" min="5" max="5"/>
    <col width="54" customWidth="1" style="22" min="6" max="6"/>
  </cols>
  <sheetData>
    <row r="1">
      <c r="A1" s="33" t="inlineStr">
        <is>
          <t>Chathura Printers — What’s Left at Month End &amp; Bank Loan Calculator</t>
        </is>
      </c>
    </row>
    <row r="2">
      <c r="A2" s="34" t="inlineStr">
        <is>
          <t>Legend: Blue bold numbers = editable inputs you can change; Black = formula calculated; Green = verified/confirmed status.</t>
        </is>
      </c>
    </row>
    <row r="4">
      <c r="A4" s="35" t="inlineStr">
        <is>
          <t>EXECUTIVE SUMMARY (Sample Month at Rs. 460,000 Revenue)</t>
        </is>
      </c>
    </row>
    <row r="5">
      <c r="A5" s="36" t="inlineStr">
        <is>
          <t>Monthly Revenue</t>
        </is>
      </c>
      <c r="B5" s="37" t="n"/>
      <c r="C5" s="36" t="inlineStr">
        <is>
          <t>Fixed Expenses</t>
        </is>
      </c>
      <c r="D5" s="36" t="inlineStr">
        <is>
          <t>Monthly Loan Installment</t>
        </is>
      </c>
      <c r="E5" s="36" t="inlineStr">
        <is>
          <t>Left to Reinvest (Surplus)</t>
        </is>
      </c>
      <c r="F5" s="36" t="inlineStr">
        <is>
          <t>Break-Even Monthly Rev.</t>
        </is>
      </c>
    </row>
    <row r="6">
      <c r="A6" s="38">
        <f>C36</f>
        <v/>
      </c>
      <c r="B6" s="37" t="n"/>
      <c r="C6" s="38">
        <f>B29</f>
        <v/>
      </c>
      <c r="D6" s="38">
        <f>B20</f>
        <v/>
      </c>
      <c r="E6" s="39">
        <f>C42</f>
        <v/>
      </c>
      <c r="F6" s="38">
        <f>C44</f>
        <v/>
      </c>
    </row>
    <row r="8">
      <c r="A8" s="40" t="inlineStr">
        <is>
          <t>1. FIXED PERSONAL LOAN CALCULATOR &amp; BANK CONFIRMATION</t>
        </is>
      </c>
    </row>
    <row r="9">
      <c r="A9" s="41" t="inlineStr">
        <is>
          <t>Loan Parameter (Inputs)</t>
        </is>
      </c>
      <c r="B9" s="42" t="inlineStr">
        <is>
          <t>Your Value</t>
        </is>
      </c>
      <c r="C9" s="41" t="inlineStr">
        <is>
          <t>Notes / Assumptions</t>
        </is>
      </c>
      <c r="D9" s="41" t="inlineStr">
        <is>
          <t>Calculated Metric</t>
        </is>
      </c>
      <c r="E9" s="42" t="inlineStr">
        <is>
          <t>Formula Result (Rs.)</t>
        </is>
      </c>
      <c r="F9" s="41" t="inlineStr">
        <is>
          <t>Calculation Details</t>
        </is>
      </c>
    </row>
    <row r="10">
      <c r="A10" s="37" t="inlineStr">
        <is>
          <t>Loan principal amount (Rs.)</t>
        </is>
      </c>
      <c r="B10" s="43" t="n">
        <v>2800000</v>
      </c>
      <c r="C10" s="37" t="inlineStr">
        <is>
          <t>Rs. 28 lakh principal (change as needed)</t>
        </is>
      </c>
      <c r="D10" s="37" t="inlineStr">
        <is>
          <t>Monthly installment (Reducing EMI)</t>
        </is>
      </c>
      <c r="E10" s="44">
        <f>PMT(B11/12,B13,-B10)</f>
        <v/>
      </c>
      <c r="F10" s="37" t="inlineStr">
        <is>
          <t>Standard bank reducing balance payment</t>
        </is>
      </c>
    </row>
    <row r="11">
      <c r="A11" s="37" t="inlineStr">
        <is>
          <t>Annual fixed interest rate</t>
        </is>
      </c>
      <c r="B11" s="45" t="n">
        <v>0.155</v>
      </c>
      <c r="C11" s="37" t="inlineStr">
        <is>
          <t>15.5% fixed interest rate per annum</t>
        </is>
      </c>
      <c r="D11" s="37" t="inlineStr">
        <is>
          <t>Month 1 interest amount</t>
        </is>
      </c>
      <c r="E11" s="46">
        <f>B10*(B11/12)</f>
        <v/>
      </c>
      <c r="F11" s="37" t="inlineStr">
        <is>
          <t>First month interest portion (= P × r / 12)</t>
        </is>
      </c>
    </row>
    <row r="12">
      <c r="A12" s="37" t="inlineStr">
        <is>
          <t>Loan term (years)</t>
        </is>
      </c>
      <c r="B12" s="47" t="n">
        <v>5</v>
      </c>
      <c r="C12" s="37" t="inlineStr">
        <is>
          <t>5 years period</t>
        </is>
      </c>
      <c r="D12" s="37" t="inlineStr">
        <is>
          <t>Average monthly interest</t>
        </is>
      </c>
      <c r="E12" s="46">
        <f>(E14-B10)/B13</f>
        <v/>
      </c>
      <c r="F12" s="37" t="inlineStr">
        <is>
          <t>Average interest per month over tenure</t>
        </is>
      </c>
    </row>
    <row r="13">
      <c r="A13" s="37" t="inlineStr">
        <is>
          <t>Loan term (months)</t>
        </is>
      </c>
      <c r="B13" s="48">
        <f>B12*12</f>
        <v/>
      </c>
      <c r="C13" s="37">
        <f> Years × 12 months</f>
        <v/>
      </c>
      <c r="D13" s="37" t="inlineStr">
        <is>
          <t>Total interest paid over term</t>
        </is>
      </c>
      <c r="E13" s="46">
        <f>E14-B10</f>
        <v/>
      </c>
      <c r="F13" s="37" t="inlineStr">
        <is>
          <t>Total interest cost across entire 5 years</t>
        </is>
      </c>
    </row>
    <row r="14">
      <c r="A14" s="37" t="inlineStr">
        <is>
          <t>Working days per month</t>
        </is>
      </c>
      <c r="B14" s="47" t="n">
        <v>26</v>
      </c>
      <c r="C14" s="37" t="inlineStr">
        <is>
          <t>26 working days (Sri Lanka printing shop)</t>
        </is>
      </c>
      <c r="D14" s="37" t="inlineStr">
        <is>
          <t>Total loan repayment over term</t>
        </is>
      </c>
      <c r="E14" s="44">
        <f>E10*B13</f>
        <v/>
      </c>
      <c r="F14" s="37" t="inlineStr">
        <is>
          <t>Total money paid to bank (Principal + Interest)</t>
        </is>
      </c>
    </row>
    <row r="15">
      <c r="A15" s="37" t="inlineStr">
        <is>
          <t>Flat Rate Alternative: Total Interest</t>
        </is>
      </c>
      <c r="B15" s="46">
        <f>B10*B11*B12</f>
        <v/>
      </c>
      <c r="C15" s="37">
        <f> Principal × Rate × Years (Flat method)</f>
        <v/>
      </c>
      <c r="D15" s="37" t="inlineStr">
        <is>
          <t>Flat Rate: Monthly Installment</t>
        </is>
      </c>
      <c r="E15" s="46">
        <f>(B10+B15)/B13</f>
        <v/>
      </c>
      <c r="F15" s="37" t="inlineStr">
        <is>
          <t>Installment if bank uses flat rate instead of EMI</t>
        </is>
      </c>
    </row>
    <row r="17">
      <c r="A17" s="49" t="inlineStr">
        <is>
          <t>BANK QUOTE CONFIRMATION &amp; VERIFICATION</t>
        </is>
      </c>
    </row>
    <row r="18">
      <c r="A18" s="37" t="inlineStr">
        <is>
          <t>Bank Quoted Monthly Installment (Rs.)</t>
        </is>
      </c>
      <c r="B18" s="43" t="n">
        <v>67350</v>
      </c>
      <c r="C18" s="37" t="inlineStr">
        <is>
          <t>Enter the exact monthly installment quoted by your bank manager</t>
        </is>
      </c>
      <c r="D18" s="37" t="inlineStr">
        <is>
          <t>Installment Variance vs Calculated EMI</t>
        </is>
      </c>
      <c r="E18" s="50">
        <f>B18-E10</f>
        <v/>
      </c>
      <c r="F18" s="37">
        <f> Bank Quote − Calculated Reducing EMI (Goal is ~Rs. 0)</f>
        <v/>
      </c>
    </row>
    <row r="19">
      <c r="A19" s="37" t="inlineStr">
        <is>
          <t>Bank Quoted Monthly Interest Amount (Rs.)</t>
        </is>
      </c>
      <c r="B19" s="43" t="n">
        <v>36167</v>
      </c>
      <c r="C19" s="37" t="inlineStr">
        <is>
          <t>Optional: Month 1 interest quoted by bank (matches ~Rs. 36,167)</t>
        </is>
      </c>
      <c r="D19" s="37" t="inlineStr">
        <is>
          <t>Interest Variance vs Month 1 Interest</t>
        </is>
      </c>
      <c r="E19" s="51">
        <f>IF(B19=0,0,B19-E11)</f>
        <v/>
      </c>
      <c r="F19" s="37">
        <f> Bank Quote − Month 1 Interest (P × r / 12)</f>
        <v/>
      </c>
    </row>
    <row r="20">
      <c r="A20" s="37" t="inlineStr">
        <is>
          <t>Active Loan Installment Used in Cash Flow</t>
        </is>
      </c>
      <c r="B20" s="52">
        <f>IF(B18&gt;0,B18,E10)</f>
        <v/>
      </c>
      <c r="C20" s="37" t="inlineStr">
        <is>
          <t>Uses confirmed bank quote (or calculated EMI if blank)</t>
        </is>
      </c>
      <c r="D20" s="37" t="inlineStr">
        <is>
          <t>Confirmation Status</t>
        </is>
      </c>
      <c r="E20" s="53">
        <f>IF(B18=0,"Enter Bank Quote",IF(ABS(E18)&lt;=10,"CONFIRMED: MATCHES BANK QUOTE",IF(ABS(B18-E15)&lt;=10,"MATCHES FLAT RATE QUOTE",IF(E18&gt;0,"BANK QUOTE IS HIGHER","BANK QUOTE IS LOWER"))))</f>
        <v/>
      </c>
      <c r="F20" s="37" t="n"/>
    </row>
    <row r="22">
      <c r="A22" s="40" t="inlineStr">
        <is>
          <t>2. FIXED MONTHLY EXPENSES (Updated: No Rent, No Licences/Insurance)</t>
        </is>
      </c>
    </row>
    <row r="23">
      <c r="A23" s="41" t="inlineStr">
        <is>
          <t>Expense Item</t>
        </is>
      </c>
      <c r="B23" s="42" t="inlineStr">
        <is>
          <t>Amount (Rs.)</t>
        </is>
      </c>
      <c r="C23" s="41" t="inlineStr">
        <is>
          <t>Details / Breakdown</t>
        </is>
      </c>
      <c r="D23" s="41" t="inlineStr">
        <is>
          <t>Category / Notes</t>
        </is>
      </c>
      <c r="E23" s="41" t="n"/>
      <c r="F23" s="41" t="n"/>
    </row>
    <row r="24">
      <c r="A24" s="54" t="inlineStr">
        <is>
          <t>Manager salary (Rs. 50,000 basic + EPF/ETF Rs. 7,500)</t>
        </is>
      </c>
      <c r="B24" s="43" t="n">
        <v>57500</v>
      </c>
      <c r="C24" s="55" t="inlineStr">
        <is>
          <t>12% EPF (Rs. 6,000) + 3% ETF (Rs. 1,500) on Rs. 50k</t>
        </is>
      </c>
      <c r="D24" s="54" t="inlineStr">
        <is>
          <t>Payroll / Staff</t>
        </is>
      </c>
      <c r="E24" s="37" t="n"/>
      <c r="F24" s="37" t="n"/>
    </row>
    <row r="25">
      <c r="A25" s="54" t="inlineStr">
        <is>
          <t>Electricity</t>
        </is>
      </c>
      <c r="B25" s="43" t="n">
        <v>18000</v>
      </c>
      <c r="C25" s="55" t="inlineStr">
        <is>
          <t>Heavy production machinery power consumption</t>
        </is>
      </c>
      <c r="D25" s="54" t="inlineStr">
        <is>
          <t>Utilities</t>
        </is>
      </c>
      <c r="E25" s="37" t="n"/>
      <c r="F25" s="37" t="n"/>
    </row>
    <row r="26">
      <c r="A26" s="54" t="inlineStr">
        <is>
          <t>Machine repairs and servicing</t>
        </is>
      </c>
      <c r="B26" s="43" t="n">
        <v>8000</v>
      </c>
      <c r="C26" s="55" t="inlineStr">
        <is>
          <t>Preventive maintenance, drum &amp; blade replacement</t>
        </is>
      </c>
      <c r="D26" s="54" t="inlineStr">
        <is>
          <t>Maintenance</t>
        </is>
      </c>
      <c r="E26" s="37" t="n"/>
      <c r="F26" s="37" t="n"/>
    </row>
    <row r="27">
      <c r="A27" s="54" t="inlineStr">
        <is>
          <t>Marketing</t>
        </is>
      </c>
      <c r="B27" s="43" t="n">
        <v>5000</v>
      </c>
      <c r="C27" s="55" t="inlineStr">
        <is>
          <t>Flyers, local social media promos, customer canvassing</t>
        </is>
      </c>
      <c r="D27" s="54" t="inlineStr">
        <is>
          <t>Sales / Promo</t>
        </is>
      </c>
      <c r="E27" s="37" t="n"/>
      <c r="F27" s="37" t="n"/>
    </row>
    <row r="28">
      <c r="A28" s="54" t="inlineStr">
        <is>
          <t>Phone and internet</t>
        </is>
      </c>
      <c r="B28" s="43" t="n">
        <v>4000</v>
      </c>
      <c r="C28" s="55" t="inlineStr">
        <is>
          <t>High-speed broadband for customer file uploads + phone line</t>
        </is>
      </c>
      <c r="D28" s="54" t="inlineStr">
        <is>
          <t>Communications</t>
        </is>
      </c>
      <c r="E28" s="37" t="n"/>
      <c r="F28" s="37" t="n"/>
    </row>
    <row r="29">
      <c r="A29" s="56" t="inlineStr">
        <is>
          <t>Total Fixed Monthly Expenses</t>
        </is>
      </c>
      <c r="B29" s="57">
        <f>SUM(B24:B28)</f>
        <v/>
      </c>
      <c r="C29" s="56" t="inlineStr">
        <is>
          <t>Strict fixed overhead (Rent &amp; Licences set to Rs. 0 as instructed)</t>
        </is>
      </c>
      <c r="D29" s="56" t="inlineStr">
        <is>
          <t>Operational Overhead Base</t>
        </is>
      </c>
      <c r="E29" s="58" t="n"/>
      <c r="F29" s="58" t="n"/>
    </row>
    <row r="32">
      <c r="A32" s="40" t="inlineStr">
        <is>
          <t>3. WHAT’S LEFT AT MONTH END (Revenue Scenarios &amp; Custom Planner)</t>
        </is>
      </c>
    </row>
    <row r="34">
      <c r="A34" s="41" t="inlineStr">
        <is>
          <t>Financial Metric / Cash Flow Step</t>
        </is>
      </c>
      <c r="B34" s="42" t="inlineStr">
        <is>
          <t>Slow Month</t>
        </is>
      </c>
      <c r="C34" s="42" t="inlineStr">
        <is>
          <t>Sample Month</t>
        </is>
      </c>
      <c r="D34" s="42" t="inlineStr">
        <is>
          <t>Busy Month</t>
        </is>
      </c>
      <c r="E34" s="42" t="inlineStr">
        <is>
          <t>Custom Target</t>
        </is>
      </c>
      <c r="F34" s="41" t="inlineStr">
        <is>
          <t>Formula Logic / Strategic Meaning</t>
        </is>
      </c>
    </row>
    <row r="35">
      <c r="A35" s="59" t="inlineStr">
        <is>
          <t>Sales Volume Level</t>
        </is>
      </c>
      <c r="B35" s="60" t="inlineStr">
        <is>
          <t>Rs. 300,000 / mo</t>
        </is>
      </c>
      <c r="C35" s="60" t="inlineStr">
        <is>
          <t>Rs. 460,000 / mo</t>
        </is>
      </c>
      <c r="D35" s="60" t="inlineStr">
        <is>
          <t>Rs. 600,000 / mo</t>
        </is>
      </c>
      <c r="E35" s="60" t="inlineStr">
        <is>
          <t>Editable Goal</t>
        </is>
      </c>
      <c r="F35" s="59" t="inlineStr">
        <is>
          <t>Scenarios comparison for owner decision making</t>
        </is>
      </c>
    </row>
    <row r="36">
      <c r="A36" s="61" t="inlineStr">
        <is>
          <t>Monthly revenue</t>
        </is>
      </c>
      <c r="B36" s="43" t="n">
        <v>300000</v>
      </c>
      <c r="C36" s="43" t="n">
        <v>460000</v>
      </c>
      <c r="D36" s="43" t="n">
        <v>600000</v>
      </c>
      <c r="E36" s="43" t="n">
        <v>500000</v>
      </c>
      <c r="F36" s="55" t="inlineStr">
        <is>
          <t>Gross sales generated in the calendar month</t>
        </is>
      </c>
    </row>
    <row r="37">
      <c r="A37" s="54" t="inlineStr">
        <is>
          <t>Gross profit margin (%)</t>
        </is>
      </c>
      <c r="B37" s="62">
        <f>'Monthly Plan'!$F$8</f>
        <v/>
      </c>
      <c r="C37" s="62">
        <f>'Monthly Plan'!$F$8</f>
        <v/>
      </c>
      <c r="D37" s="62">
        <f>'Monthly Plan'!$F$8</f>
        <v/>
      </c>
      <c r="E37" s="62">
        <f>'Monthly Plan'!$F$8</f>
        <v/>
      </c>
      <c r="F37" s="55" t="inlineStr">
        <is>
          <t>Overall direct product margin (40.0% from print jobs)</t>
        </is>
      </c>
    </row>
    <row r="38">
      <c r="A38" s="61" t="inlineStr">
        <is>
          <t>Gross profit (Rs.)</t>
        </is>
      </c>
      <c r="B38" s="44">
        <f>B36*B37</f>
        <v/>
      </c>
      <c r="C38" s="44">
        <f>C36*C37</f>
        <v/>
      </c>
      <c r="D38" s="44">
        <f>D36*D37</f>
        <v/>
      </c>
      <c r="E38" s="44">
        <f>E36*E37</f>
        <v/>
      </c>
      <c r="F38" s="55">
        <f> Monthly Revenue × Gross Margin (40%)</f>
        <v/>
      </c>
    </row>
    <row r="39">
      <c r="A39" s="54" t="inlineStr">
        <is>
          <t>Less: Fixed expenses (Rs.)</t>
        </is>
      </c>
      <c r="B39" s="46">
        <f>-$B$29</f>
        <v/>
      </c>
      <c r="C39" s="46">
        <f>-$B$29</f>
        <v/>
      </c>
      <c r="D39" s="46">
        <f>-$B$29</f>
        <v/>
      </c>
      <c r="E39" s="46">
        <f>-$B$29</f>
        <v/>
      </c>
      <c r="F39" s="55" t="inlineStr">
        <is>
          <t>Manager salary + Electricity + Repairs + Promo + Phone</t>
        </is>
      </c>
    </row>
    <row r="40">
      <c r="A40" s="61" t="inlineStr">
        <is>
          <t>Operating profit (Rs.)</t>
        </is>
      </c>
      <c r="B40" s="44">
        <f>B38+B39</f>
        <v/>
      </c>
      <c r="C40" s="44">
        <f>C38+C39</f>
        <v/>
      </c>
      <c r="D40" s="44">
        <f>D38+D39</f>
        <v/>
      </c>
      <c r="E40" s="44">
        <f>E38+E39</f>
        <v/>
      </c>
      <c r="F40" s="55" t="inlineStr">
        <is>
          <t>Operating profit before debt service (= Gross Profit − Overhead)</t>
        </is>
      </c>
    </row>
    <row r="41">
      <c r="A41" s="54" t="inlineStr">
        <is>
          <t>Less: Loan installment (Rs.)</t>
        </is>
      </c>
      <c r="B41" s="46">
        <f>-$B$20</f>
        <v/>
      </c>
      <c r="C41" s="46">
        <f>-$B$20</f>
        <v/>
      </c>
      <c r="D41" s="46">
        <f>-$B$20</f>
        <v/>
      </c>
      <c r="E41" s="46">
        <f>-$B$20</f>
        <v/>
      </c>
      <c r="F41" s="55" t="inlineStr">
        <is>
          <t>Fixed monthly bank loan installment (confirmed with bank)</t>
        </is>
      </c>
    </row>
    <row r="42">
      <c r="A42" s="63" t="inlineStr">
        <is>
          <t>Left to reinvest in business (Rs.)</t>
        </is>
      </c>
      <c r="B42" s="64">
        <f>B40+B41</f>
        <v/>
      </c>
      <c r="C42" s="65">
        <f>C40+C41</f>
        <v/>
      </c>
      <c r="D42" s="65">
        <f>D40+D41</f>
        <v/>
      </c>
      <c r="E42" s="65">
        <f>E40+E41</f>
        <v/>
      </c>
      <c r="F42" s="66" t="inlineStr">
        <is>
          <t>NET SURPLUS (Positive = reinvest/savings; Negative = top-up)</t>
        </is>
      </c>
    </row>
    <row r="43">
      <c r="A43" s="61" t="inlineStr">
        <is>
          <t>Cash flow status for owner</t>
        </is>
      </c>
      <c r="B43" s="67">
        <f>IF(B42&gt;=0,"SURPLUS: Covers loan + manager","DEFICIT: Top-up from personal salary")</f>
        <v/>
      </c>
      <c r="C43" s="68">
        <f>IF(C42&gt;=0,"SURPLUS: Covers loan + manager","DEFICIT: Top-up from personal salary")</f>
        <v/>
      </c>
      <c r="D43" s="68">
        <f>IF(D42&gt;=0,"SURPLUS: Covers loan + manager","DEFICIT: Top-up from personal salary")</f>
        <v/>
      </c>
      <c r="E43" s="68">
        <f>IF(E42&gt;=0,"SURPLUS: Covers loan + manager","DEFICIT: Top-up from personal salary")</f>
        <v/>
      </c>
      <c r="F43" s="55" t="inlineStr">
        <is>
          <t>Owner cash security assessment</t>
        </is>
      </c>
    </row>
    <row r="44">
      <c r="A44" s="61" t="inlineStr">
        <is>
          <t>Break-even monthly revenue (Rs.)</t>
        </is>
      </c>
      <c r="B44" s="44">
        <f>($B$29+$B$20)/B37</f>
        <v/>
      </c>
      <c r="C44" s="44">
        <f>($B$29+$B$20)/C37</f>
        <v/>
      </c>
      <c r="D44" s="44">
        <f>($B$29+$B$20)/D37</f>
        <v/>
      </c>
      <c r="E44" s="44">
        <f>($B$29+$B$20)/E37</f>
        <v/>
      </c>
      <c r="F44" s="55">
        <f> (Fixed Expenses + Loan Installment) / Gross Margin</f>
        <v/>
      </c>
    </row>
    <row r="45">
      <c r="A45" s="61" t="inlineStr">
        <is>
          <t>Break-even revenue per working day</t>
        </is>
      </c>
      <c r="B45" s="44">
        <f>B44/$B$14</f>
        <v/>
      </c>
      <c r="C45" s="44">
        <f>C44/$B$14</f>
        <v/>
      </c>
      <c r="D45" s="44">
        <f>D44/$B$14</f>
        <v/>
      </c>
      <c r="E45" s="44">
        <f>E44/$B$14</f>
        <v/>
      </c>
      <c r="F45" s="55">
        <f> Break-even monthly revenue / 26 working days</f>
        <v/>
      </c>
    </row>
    <row r="47">
      <c r="A47" s="63" t="inlineStr">
        <is>
          <t>OWNER SUMMARY &amp; RISK MANAGEMENT GUIDELINES:</t>
        </is>
      </c>
    </row>
    <row r="48">
      <c r="A48" s="66" t="inlineStr">
        <is>
          <t>1. Break-even threshold is ~Rs. 400,000 / month (~Rs. 15,385 / day across 26 working days). Any sales above this directly build business cash reserve.</t>
        </is>
      </c>
    </row>
    <row r="49">
      <c r="A49" s="66" t="inlineStr">
        <is>
          <t>2. In the Sample Month (Rs. 460,000 sales): The business fully covers the manager salary, EPF/ETF, utility bills, and loan installment, leaving +Rs. 24,150 surplus.</t>
        </is>
      </c>
    </row>
    <row r="50">
      <c r="A50" s="66" t="inlineStr">
        <is>
          <t>3. In a Busy Month (Rs. 600,000 sales): Monthly reinvestment surplus jumps to +Rs. 80,150 to accelerate equipment payoff or store improvements.</t>
        </is>
      </c>
    </row>
    <row r="51">
      <c r="A51" s="66" t="inlineStr">
        <is>
          <t>4. In a Slow Month (Rs. 300,000 sales): Cash shortfall is -Rs. 39,850. Owner must top up from personal salary or keep a 2-3 month installment cushion (~Rs. 200,000).</t>
        </is>
      </c>
    </row>
  </sheetData>
  <mergeCells count="20">
    <mergeCell ref="D27:F27"/>
    <mergeCell ref="A50:F50"/>
    <mergeCell ref="A6:B6"/>
    <mergeCell ref="E20:F20"/>
    <mergeCell ref="D28:F28"/>
    <mergeCell ref="A47:F47"/>
    <mergeCell ref="A32:F32"/>
    <mergeCell ref="A8:F8"/>
    <mergeCell ref="A22:F22"/>
    <mergeCell ref="A17:F17"/>
    <mergeCell ref="A4:F4"/>
    <mergeCell ref="D25:F25"/>
    <mergeCell ref="D24:F24"/>
    <mergeCell ref="D29:F29"/>
    <mergeCell ref="D23:F23"/>
    <mergeCell ref="A5:B5"/>
    <mergeCell ref="D26:F26"/>
    <mergeCell ref="A48:F48"/>
    <mergeCell ref="A49:F49"/>
    <mergeCell ref="A51:F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1" min="1" max="1"/>
    <col width="16" customWidth="1" style="21" min="2" max="5"/>
    <col width="12" customWidth="1" style="21" min="6" max="6"/>
  </cols>
  <sheetData>
    <row r="1" ht="17.35" customHeight="1" s="22">
      <c r="A1" s="23" t="inlineStr">
        <is>
          <t>Sample Month - Profit Plan (Rs.)</t>
        </is>
      </c>
    </row>
    <row r="3" ht="15" customHeight="1" s="22">
      <c r="A3" s="31" t="inlineStr">
        <is>
          <t>Work</t>
        </is>
      </c>
      <c r="B3" s="31" t="inlineStr">
        <is>
          <t>Volume</t>
        </is>
      </c>
      <c r="C3" s="31" t="inlineStr">
        <is>
          <t>Revenue</t>
        </is>
      </c>
      <c r="D3" s="31" t="inlineStr">
        <is>
          <t>Direct cost</t>
        </is>
      </c>
      <c r="E3" s="31" t="inlineStr">
        <is>
          <t>Gross profit</t>
        </is>
      </c>
      <c r="F3" s="31" t="inlineStr">
        <is>
          <t>Margin</t>
        </is>
      </c>
    </row>
    <row r="4" ht="15" customHeight="1" s="22">
      <c r="A4" s="69">
        <f>Inputs!A22</f>
        <v/>
      </c>
      <c r="B4" s="70">
        <f>Inputs!B22</f>
        <v/>
      </c>
      <c r="C4" s="71">
        <f>Inputs!B22*Inputs!D22</f>
        <v/>
      </c>
      <c r="D4" s="71">
        <f>Inputs!B22*Inputs!E22</f>
        <v/>
      </c>
      <c r="E4" s="71">
        <f>C4-D4</f>
        <v/>
      </c>
      <c r="F4" s="72">
        <f>IF(C4=0,0,E4/C4)</f>
        <v/>
      </c>
    </row>
    <row r="5" ht="15" customHeight="1" s="22">
      <c r="A5" s="69">
        <f>Inputs!A23</f>
        <v/>
      </c>
      <c r="B5" s="70">
        <f>Inputs!B23</f>
        <v/>
      </c>
      <c r="C5" s="71">
        <f>Inputs!B23*Inputs!D23</f>
        <v/>
      </c>
      <c r="D5" s="71">
        <f>Inputs!B23*Inputs!E23</f>
        <v/>
      </c>
      <c r="E5" s="71">
        <f>C5-D5</f>
        <v/>
      </c>
      <c r="F5" s="72">
        <f>IF(C5=0,0,E5/C5)</f>
        <v/>
      </c>
    </row>
    <row r="6" ht="15" customHeight="1" s="22">
      <c r="A6" s="69">
        <f>Inputs!A24</f>
        <v/>
      </c>
      <c r="B6" s="70">
        <f>Inputs!B24</f>
        <v/>
      </c>
      <c r="C6" s="71">
        <f>Inputs!B24*Inputs!D24</f>
        <v/>
      </c>
      <c r="D6" s="71">
        <f>Inputs!B24*Inputs!E24</f>
        <v/>
      </c>
      <c r="E6" s="71">
        <f>C6-D6</f>
        <v/>
      </c>
      <c r="F6" s="72">
        <f>IF(C6=0,0,E6/C6)</f>
        <v/>
      </c>
    </row>
    <row r="7" ht="15" customHeight="1" s="22">
      <c r="A7" s="69">
        <f>Inputs!A25</f>
        <v/>
      </c>
      <c r="B7" s="70">
        <f>Inputs!B25</f>
        <v/>
      </c>
      <c r="C7" s="71">
        <f>Inputs!B25*Inputs!D25</f>
        <v/>
      </c>
      <c r="D7" s="71">
        <f>Inputs!B25*Inputs!E25</f>
        <v/>
      </c>
      <c r="E7" s="71">
        <f>C7-D7</f>
        <v/>
      </c>
      <c r="F7" s="72">
        <f>IF(C7=0,0,E7/C7)</f>
        <v/>
      </c>
    </row>
    <row r="8" ht="15" customHeight="1" s="22">
      <c r="A8" s="73" t="inlineStr">
        <is>
          <t>Total</t>
        </is>
      </c>
      <c r="B8" s="74" t="n"/>
      <c r="C8" s="29">
        <f>SUM(C4:C7)</f>
        <v/>
      </c>
      <c r="D8" s="29">
        <f>SUM(D4:D7)</f>
        <v/>
      </c>
      <c r="E8" s="29">
        <f>SUM(E4:E7)</f>
        <v/>
      </c>
      <c r="F8" s="75">
        <f>IF(C8=0,0,E8/C8)</f>
        <v/>
      </c>
    </row>
    <row r="10" ht="15" customHeight="1" s="22">
      <c r="A10" s="25" t="inlineStr">
        <is>
          <t>Fixed monthly expenses</t>
        </is>
      </c>
    </row>
    <row r="11" ht="15" customHeight="1" s="22">
      <c r="A11" s="24" t="inlineStr">
        <is>
          <t>Manager salary</t>
        </is>
      </c>
      <c r="B11" s="70">
        <f>Inputs!B12</f>
        <v/>
      </c>
    </row>
    <row r="12" ht="15" customHeight="1" s="22">
      <c r="A12" s="24" t="inlineStr">
        <is>
          <t>Employer EPF + ETF</t>
        </is>
      </c>
      <c r="B12" s="71">
        <f>Inputs!B12*Inputs!B13</f>
        <v/>
      </c>
    </row>
    <row r="13" ht="15" customHeight="1" s="22">
      <c r="A13" s="24" t="inlineStr">
        <is>
          <t>Electricity</t>
        </is>
      </c>
      <c r="B13" s="70">
        <f>Inputs!B14</f>
        <v/>
      </c>
    </row>
    <row r="14" ht="15" customHeight="1" s="22">
      <c r="A14" s="24" t="inlineStr">
        <is>
          <t>Machine repairs &amp; servicing</t>
        </is>
      </c>
      <c r="B14" s="70">
        <f>Inputs!B15</f>
        <v/>
      </c>
    </row>
    <row r="15" ht="15" customHeight="1" s="22">
      <c r="A15" s="24" t="inlineStr">
        <is>
          <t>Marketing</t>
        </is>
      </c>
      <c r="B15" s="70">
        <f>Inputs!B16</f>
        <v/>
      </c>
    </row>
    <row r="16" ht="15" customHeight="1" s="22">
      <c r="A16" s="24" t="inlineStr">
        <is>
          <t>Phone &amp; internet</t>
        </is>
      </c>
      <c r="B16" s="70">
        <f>Inputs!B17</f>
        <v/>
      </c>
    </row>
    <row r="17" ht="15" customHeight="1" s="22">
      <c r="A17" s="25" t="inlineStr">
        <is>
          <t>Total fixed expenses</t>
        </is>
      </c>
      <c r="B17" s="29">
        <f>SUM(B11:B16)</f>
        <v/>
      </c>
    </row>
    <row r="19" ht="15" customHeight="1" s="22">
      <c r="A19" s="25" t="inlineStr">
        <is>
          <t>Month-end result</t>
        </is>
      </c>
    </row>
    <row r="20" ht="15" customHeight="1" s="22">
      <c r="A20" s="24" t="inlineStr">
        <is>
          <t>Gross profit</t>
        </is>
      </c>
      <c r="B20" s="71">
        <f>E8</f>
        <v/>
      </c>
    </row>
    <row r="21" ht="15" customHeight="1" s="22">
      <c r="A21" s="24" t="inlineStr">
        <is>
          <t>Less: fixed expenses</t>
        </is>
      </c>
      <c r="B21" s="71">
        <f>-B17</f>
        <v/>
      </c>
    </row>
    <row r="22" ht="15" customHeight="1" s="22">
      <c r="A22" s="25" t="inlineStr">
        <is>
          <t>Operating profit</t>
        </is>
      </c>
      <c r="B22" s="29">
        <f>B20+B21</f>
        <v/>
      </c>
    </row>
    <row r="23" ht="15" customHeight="1" s="22">
      <c r="A23" s="24" t="inlineStr">
        <is>
          <t>Less: loan installment</t>
        </is>
      </c>
      <c r="B23" s="71">
        <f>-'What''s Left at Month End'!$B$20</f>
        <v/>
      </c>
    </row>
    <row r="24" ht="15" customHeight="1" s="22">
      <c r="A24" s="25" t="inlineStr">
        <is>
          <t>Left to reinvest in the business</t>
        </is>
      </c>
      <c r="B24" s="29">
        <f>B22+B23</f>
        <v/>
      </c>
    </row>
    <row r="26" ht="15" customHeight="1" s="22">
      <c r="A26" s="25" t="inlineStr">
        <is>
          <t>Break-even</t>
        </is>
      </c>
    </row>
    <row r="27" ht="15" customHeight="1" s="22">
      <c r="A27" s="24" t="inlineStr">
        <is>
          <t>Break-even monthly revenue (fixed + loan)</t>
        </is>
      </c>
      <c r="B27" s="71">
        <f>IF(F8=0,0,(B17+'What''s Left at Month End'!$B$20)/F8)</f>
        <v/>
      </c>
    </row>
    <row r="28" ht="15" customHeight="1" s="22">
      <c r="A28" s="24" t="inlineStr">
        <is>
          <t>Break-even revenue per working day</t>
        </is>
      </c>
      <c r="B28" s="71">
        <f>B27/Inputs!B9</f>
        <v/>
      </c>
    </row>
    <row r="29" ht="15" customHeight="1" s="22">
      <c r="A29" s="24" t="inlineStr">
        <is>
          <t>Current sample revenue per working day</t>
        </is>
      </c>
      <c r="B29" s="71">
        <f>C8/Inputs!B9</f>
        <v/>
      </c>
    </row>
    <row r="30" ht="15" customHeight="1" s="22">
      <c r="A30" s="30" t="inlineStr">
        <is>
          <t>Note: break-even assumes the same overall margin as the sample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21" min="1" max="1"/>
    <col width="18" customWidth="1" style="21" min="2" max="4"/>
  </cols>
  <sheetData>
    <row r="1" ht="17.35" customHeight="1" s="22">
      <c r="A1" s="23" t="inlineStr">
        <is>
          <t>Revenue Scenarios (Rs. per month)</t>
        </is>
      </c>
    </row>
    <row r="2" ht="15" customHeight="1" s="22">
      <c r="A2" s="24" t="inlineStr">
        <is>
          <t>Change the blue revenue cells to test other months. Margin is taken from the Monthly Plan sheet.</t>
        </is>
      </c>
    </row>
    <row r="4" ht="15" customHeight="1" s="22">
      <c r="A4" s="31" t="n"/>
      <c r="B4" s="31" t="inlineStr">
        <is>
          <t>Slow month</t>
        </is>
      </c>
      <c r="C4" s="31" t="inlineStr">
        <is>
          <t>Sample month</t>
        </is>
      </c>
      <c r="D4" s="31" t="inlineStr">
        <is>
          <t>Busy month</t>
        </is>
      </c>
    </row>
    <row r="5" ht="15" customHeight="1" s="22">
      <c r="A5" s="25" t="inlineStr">
        <is>
          <t>Monthly revenue</t>
        </is>
      </c>
      <c r="B5" s="76" t="n">
        <v>300000</v>
      </c>
      <c r="C5" s="76" t="n">
        <v>460000</v>
      </c>
      <c r="D5" s="76" t="n">
        <v>600000</v>
      </c>
    </row>
    <row r="6" ht="15" customHeight="1" s="22">
      <c r="A6" s="24" t="inlineStr">
        <is>
          <t>Gross margin</t>
        </is>
      </c>
      <c r="B6" s="77">
        <f>'Monthly Plan'!$F$8</f>
        <v/>
      </c>
      <c r="C6" s="77">
        <f>'Monthly Plan'!$F$8</f>
        <v/>
      </c>
      <c r="D6" s="77">
        <f>'Monthly Plan'!$F$8</f>
        <v/>
      </c>
    </row>
    <row r="7" ht="15" customHeight="1" s="22">
      <c r="A7" s="24" t="inlineStr">
        <is>
          <t>Gross profit</t>
        </is>
      </c>
      <c r="B7" s="71">
        <f>B5*B6</f>
        <v/>
      </c>
      <c r="C7" s="71">
        <f>C5*C6</f>
        <v/>
      </c>
      <c r="D7" s="71">
        <f>D5*D6</f>
        <v/>
      </c>
    </row>
    <row r="8" ht="15" customHeight="1" s="22">
      <c r="A8" s="24" t="inlineStr">
        <is>
          <t>Fixed expenses</t>
        </is>
      </c>
      <c r="B8" s="70">
        <f>-'Monthly Plan'!$B$17</f>
        <v/>
      </c>
      <c r="C8" s="70">
        <f>-'Monthly Plan'!$B$17</f>
        <v/>
      </c>
      <c r="D8" s="70">
        <f>-'Monthly Plan'!$B$17</f>
        <v/>
      </c>
    </row>
    <row r="9" ht="15" customHeight="1" s="22">
      <c r="A9" s="73" t="inlineStr">
        <is>
          <t>Operating profit</t>
        </is>
      </c>
      <c r="B9" s="29">
        <f>B7+B8</f>
        <v/>
      </c>
      <c r="C9" s="29">
        <f>C7+C8</f>
        <v/>
      </c>
      <c r="D9" s="29">
        <f>D7+D8</f>
        <v/>
      </c>
    </row>
    <row r="10" ht="15" customHeight="1" s="22">
      <c r="A10" s="24" t="inlineStr">
        <is>
          <t>Loan installment</t>
        </is>
      </c>
      <c r="B10" s="70">
        <f>-'What''s Left at Month End'!$B$20</f>
        <v/>
      </c>
      <c r="C10" s="70">
        <f>-'What''s Left at Month End'!$B$20</f>
        <v/>
      </c>
      <c r="D10" s="70">
        <f>-'What''s Left at Month End'!$B$20</f>
        <v/>
      </c>
    </row>
    <row r="11" ht="15" customHeight="1" s="22">
      <c r="A11" s="73" t="inlineStr">
        <is>
          <t>Left to reinvest (negative = top up from salary)</t>
        </is>
      </c>
      <c r="B11" s="29">
        <f>B9+B10</f>
        <v/>
      </c>
      <c r="C11" s="29">
        <f>C9+C10</f>
        <v/>
      </c>
      <c r="D11" s="29">
        <f>D9+D10</f>
        <v/>
      </c>
    </row>
    <row r="13" ht="15" customHeight="1" s="22">
      <c r="A13" s="24" t="inlineStr">
        <is>
          <t>Break-even monthly revenue</t>
        </is>
      </c>
      <c r="B13" s="70">
        <f>'Monthly Plan'!B27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21" min="1" max="1"/>
    <col width="20" customWidth="1" style="21" min="2" max="2"/>
    <col width="10" customWidth="1" style="21" min="3" max="3"/>
    <col width="8" customWidth="1" style="21" min="4" max="4"/>
    <col width="18" customWidth="1" style="21" min="5" max="5"/>
    <col width="16" customWidth="1" style="21" min="6" max="7"/>
    <col width="50" customWidth="1" style="21" min="8" max="8"/>
  </cols>
  <sheetData>
    <row r="1" ht="17.35" customHeight="1" s="22">
      <c r="A1" s="23" t="inlineStr">
        <is>
          <t>Loan Models Compared</t>
        </is>
      </c>
    </row>
    <row r="2" ht="15" customHeight="1" s="22">
      <c r="A2" s="24" t="inlineStr">
        <is>
          <t>Blue = editable. Rates assumed equal to your 15.5% unless you change them.</t>
        </is>
      </c>
    </row>
    <row r="4" ht="30" customHeight="1" s="22">
      <c r="A4" s="31" t="inlineStr">
        <is>
          <t>Model</t>
        </is>
      </c>
      <c r="B4" s="31" t="inlineStr">
        <is>
          <t>Loan amount (Rs.)</t>
        </is>
      </c>
      <c r="C4" s="31" t="inlineStr">
        <is>
          <t>Rate</t>
        </is>
      </c>
      <c r="D4" s="31" t="inlineStr">
        <is>
          <t>Years</t>
        </is>
      </c>
      <c r="E4" s="31" t="inlineStr">
        <is>
          <t>Monthly payment</t>
        </is>
      </c>
      <c r="F4" s="31" t="inlineStr">
        <is>
          <t>Total repaid</t>
        </is>
      </c>
      <c r="G4" s="31" t="inlineStr">
        <is>
          <t>Total interest</t>
        </is>
      </c>
      <c r="H4" s="31" t="inlineStr">
        <is>
          <t>Notes</t>
        </is>
      </c>
    </row>
    <row r="5" ht="15" customHeight="1" s="22">
      <c r="A5" s="24" t="inlineStr">
        <is>
          <t>5 years, standard (your plan)</t>
        </is>
      </c>
      <c r="B5" s="70">
        <f>Inputs!B5</f>
        <v/>
      </c>
      <c r="C5" s="77">
        <f>Inputs!B6</f>
        <v/>
      </c>
      <c r="D5" s="78">
        <f>Inputs!B7</f>
        <v/>
      </c>
      <c r="E5" s="71">
        <f>PMT(C5/12,D5*12,-B5)</f>
        <v/>
      </c>
      <c r="F5" s="71">
        <f>E5*D5*12</f>
        <v/>
      </c>
      <c r="G5" s="71">
        <f>F5-B5</f>
        <v/>
      </c>
      <c r="H5" s="24" t="inlineStr">
        <is>
          <t>Cheapest overall interest, tight cash flow</t>
        </is>
      </c>
    </row>
    <row r="6" ht="15" customHeight="1" s="22">
      <c r="A6" s="24" t="inlineStr">
        <is>
          <t>7 years</t>
        </is>
      </c>
      <c r="B6" s="70">
        <f>Inputs!B5</f>
        <v/>
      </c>
      <c r="C6" s="77">
        <f>Inputs!B6</f>
        <v/>
      </c>
      <c r="D6" s="28" t="n">
        <v>7</v>
      </c>
      <c r="E6" s="71">
        <f>PMT(C6/12,D6*12,-B6)</f>
        <v/>
      </c>
      <c r="F6" s="71">
        <f>E6*D6*12</f>
        <v/>
      </c>
      <c r="G6" s="71">
        <f>F6-B6</f>
        <v/>
      </c>
      <c r="H6" s="24" t="inlineStr">
        <is>
          <t>Lower monthly burden, more total interest</t>
        </is>
      </c>
    </row>
    <row r="7" ht="15" customHeight="1" s="22">
      <c r="A7" s="24" t="inlineStr">
        <is>
          <t>Rs. 20 lakh loan + Rs. 8 lakh own money</t>
        </is>
      </c>
      <c r="B7" s="26" t="n">
        <v>2000000</v>
      </c>
      <c r="C7" s="77">
        <f>Inputs!B6</f>
        <v/>
      </c>
      <c r="D7" s="28" t="n">
        <v>5</v>
      </c>
      <c r="E7" s="71">
        <f>PMT(C7/12,D7*12,-B7)</f>
        <v/>
      </c>
      <c r="F7" s="71">
        <f>E7*D7*12</f>
        <v/>
      </c>
      <c r="G7" s="71">
        <f>F7-B7</f>
        <v/>
      </c>
      <c r="H7" s="24" t="inlineStr">
        <is>
          <t>Lowest risk if you can fund Rs. 8 lakh yourself</t>
        </is>
      </c>
    </row>
    <row r="9" ht="15" customHeight="1" s="22">
      <c r="A9" s="25" t="inlineStr">
        <is>
          <t>Interest-only start (grace period)</t>
        </is>
      </c>
    </row>
    <row r="10" ht="15" customHeight="1" s="22">
      <c r="A10" s="24" t="inlineStr">
        <is>
          <t>Loan amount (Rs.)</t>
        </is>
      </c>
      <c r="B10" s="70">
        <f>Inputs!B5</f>
        <v/>
      </c>
    </row>
    <row r="11" ht="15" customHeight="1" s="22">
      <c r="A11" s="24" t="inlineStr">
        <is>
          <t>Monthly interest-only payment</t>
        </is>
      </c>
      <c r="B11" s="71">
        <f>B10*Inputs!B6/12</f>
        <v/>
      </c>
    </row>
    <row r="12" ht="15" customHeight="1" s="22">
      <c r="A12" s="30" t="inlineStr">
        <is>
          <t>Ask the bank if a 3-6 month interest-only start is possible while machines arrive and sales build up.</t>
        </is>
      </c>
    </row>
    <row r="14" ht="15" customHeight="1" s="22">
      <c r="A14" s="30" t="inlineStr">
        <is>
          <t>Also ask the bank: is the rate fixed or floating? Any SME/machinery-financing scheme or hire purchase option? (verify current terms)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2026-10-11T02:45:44Z</dcterms:created>
  <dcterms:modified xmlns:dcterms="http://purl.org/dc/terms/" xmlns:xsi="http://www.w3.org/2001/XMLSchema-instance" xsi:type="dcterms:W3CDTF">2026-10-11T06:50:08Z</dcterms:modified>
  <cp:revision>0</cp:revision>
</cp:coreProperties>
</file>